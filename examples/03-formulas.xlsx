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ookup" sheetId="2" state="visible" r:id="rId2"/>
    <sheet name="Jan" sheetId="3" state="visible" r:id="rId3"/>
    <sheet name="Feb" sheetId="4" state="visible" r:id="rId4"/>
    <sheet name="Mar" sheetId="5" state="visible" r:id="rId5"/>
    <sheet name="Budget" sheetId="6" state="visible" r:id="rId6"/>
    <sheet name="Settings" sheetId="7" state="hidden" r:id="rId7"/>
    <sheet name="Summary" sheetId="8" state="visible" r:id="rId8"/>
  </sheets>
  <definedNames>
    <definedName name="VAT">Settings!$B$1</definedName>
    <definedName name="OrderProducts">Orders!$A$2:$A$7</definedName>
    <definedName name="Discount" localSheetId="1">0.05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Analyst</author>
    <author>Finance</author>
  </authors>
  <commentList>
    <comment ref="A1" authorId="0" shapeId="0">
      <text>
        <t>Product names come from the catalog</t>
      </text>
    </comment>
    <comment ref="D1" authorId="1" shapeId="0">
      <text>
        <t>Total = Quantity × Price
VAT is added in the summary</t>
      </text>
    </comment>
  </commentList>
</comments>
</file>

<file path=xl/tables/table1.xml><?xml version="1.0" encoding="utf-8"?>
<table xmlns="http://schemas.openxmlformats.org/spreadsheetml/2006/main" id="1" name="OrderList" displayName="OrderList" ref="A1:E7" headerRowCount="1">
  <autoFilter ref="A1:E7"/>
  <tableColumns count="5">
    <tableColumn id="1" name="Product"/>
    <tableColumn id="2" name="Quantity"/>
    <tableColumn id="3" name="Price"/>
    <tableColumn id="4" name="Total"/>
    <tableColumn id="5" name="Category"/>
  </tableColumns>
  <tableStyleInfo name="TableStyleMedium2" showRowStripes="1"/>
</table>
</file>

<file path=xl/tables/table2.xml><?xml version="1.0" encoding="utf-8"?>
<table xmlns="http://schemas.openxmlformats.org/spreadsheetml/2006/main" id="2" name="BudgetTable" displayName="BudgetTable" ref="A3:D7" headerRowCount="1" totalsRowCount="1">
  <autoFilter ref="A3:D7"/>
  <tableColumns count="4">
    <tableColumn id="1" name="Column1" totalsRowLabel="Total"/>
    <tableColumn id="2" name="Column2" totalsRowFunction="sum"/>
    <tableColumn id="3" name="Column3" totalsRowFunction="sum"/>
    <tableColumn id="4" name="Column4" totalsRowFunction="sum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click0/xlsx2txt" TargetMode="External" Id="rId1" /><Relationship Type="http://schemas.openxmlformats.org/officeDocument/2006/relationships/table" Target="/xl/tables/table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Total</t>
        </is>
      </c>
      <c r="E1" s="1" t="inlineStr">
        <is>
          <t>Category</t>
        </is>
      </c>
      <c r="G1" t="inlineStr">
        <is>
          <t>Doubled</t>
        </is>
      </c>
    </row>
    <row r="2">
      <c r="A2" t="inlineStr">
        <is>
          <t>Widget</t>
        </is>
      </c>
      <c r="B2" t="n">
        <v>120</v>
      </c>
      <c r="C2" t="n">
        <v>9.99</v>
      </c>
      <c r="D2">
        <f>B2*C2</f>
        <v/>
      </c>
      <c r="E2" t="inlineStr">
        <is>
          <t>Hardware</t>
        </is>
      </c>
      <c r="G2">
        <f t="array" ref="G2:G7">B2:B7*2</f>
        <v/>
      </c>
    </row>
    <row r="3">
      <c r="A3" t="inlineStr">
        <is>
          <t>Gadget</t>
        </is>
      </c>
      <c r="B3" t="n">
        <v>45</v>
      </c>
      <c r="C3" t="n">
        <v>24.5</v>
      </c>
      <c r="D3">
        <f>B3*C3</f>
        <v/>
      </c>
      <c r="E3" t="inlineStr">
        <is>
          <t>Hardware</t>
        </is>
      </c>
    </row>
    <row r="4">
      <c r="A4" t="inlineStr">
        <is>
          <t>Gizmo</t>
        </is>
      </c>
      <c r="B4" t="n">
        <v>80</v>
      </c>
      <c r="C4" t="n">
        <v>14.25</v>
      </c>
      <c r="D4">
        <f>B4*C4</f>
        <v/>
      </c>
      <c r="E4" t="inlineStr">
        <is>
          <t>Hardware</t>
        </is>
      </c>
    </row>
    <row r="5">
      <c r="A5" t="inlineStr">
        <is>
          <t>Support plan</t>
        </is>
      </c>
      <c r="B5" t="n">
        <v>12</v>
      </c>
      <c r="C5" t="n">
        <v>199</v>
      </c>
      <c r="D5">
        <f>B5*C5</f>
        <v/>
      </c>
      <c r="E5" t="inlineStr">
        <is>
          <t>Services</t>
        </is>
      </c>
    </row>
    <row r="6">
      <c r="A6" t="inlineStr">
        <is>
          <t>Training</t>
        </is>
      </c>
      <c r="B6" t="n">
        <v>5</v>
      </c>
      <c r="C6" t="n">
        <v>450</v>
      </c>
      <c r="D6">
        <f>B6*C6</f>
        <v/>
      </c>
      <c r="E6" t="inlineStr">
        <is>
          <t>Services</t>
        </is>
      </c>
    </row>
    <row r="7">
      <c r="A7" t="inlineStr">
        <is>
          <t>Консультація</t>
        </is>
      </c>
      <c r="B7" t="n">
        <v>3</v>
      </c>
      <c r="C7" t="n">
        <v>1200</v>
      </c>
      <c r="D7">
        <f>B7*C7</f>
        <v/>
      </c>
      <c r="E7" t="inlineStr">
        <is>
          <t>Послуги</t>
        </is>
      </c>
    </row>
    <row r="8">
      <c r="A8" t="inlineStr">
        <is>
          <t>Sum</t>
        </is>
      </c>
      <c r="D8">
        <f>SUM(D2:D7)</f>
        <v/>
      </c>
    </row>
    <row r="9">
      <c r="A9" t="inlineStr">
        <is>
          <t>Average price</t>
        </is>
      </c>
      <c r="D9">
        <f>AVERAGE(C2:C7)</f>
        <v/>
      </c>
    </row>
    <row r="10">
      <c r="A10" t="inlineStr">
        <is>
          <t>With VAT</t>
        </is>
      </c>
      <c r="D10">
        <f>D8*(1+VAT)</f>
        <v/>
      </c>
    </row>
    <row r="11">
      <c r="A11" t="inlineStr">
        <is>
          <t>Hardware total</t>
        </is>
      </c>
      <c r="D11">
        <f>SUMIFS(D2:D7,E2:E7,"Hardware")</f>
        <v/>
      </c>
    </row>
    <row r="12">
      <c r="A12" t="inlineStr">
        <is>
          <t>Orders over 1000</t>
        </is>
      </c>
      <c r="D12">
        <f>COUNTIF(D2:D7,"&gt;1000")</f>
        <v/>
      </c>
    </row>
    <row r="14">
      <c r="A14" s="2" t="inlineStr">
        <is>
          <t>Documentation</t>
        </is>
      </c>
    </row>
    <row r="15">
      <c r="A15" s="2" t="inlineStr">
        <is>
          <t>Go to the summary</t>
        </is>
      </c>
    </row>
  </sheetData>
  <hyperlinks>
    <hyperlink xmlns:r="http://schemas.openxmlformats.org/officeDocument/2006/relationships" ref="A14" r:id="rId1"/>
    <hyperlink ref="A15" location="Summary!A1" tooltip="Summary sheet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Found price</t>
        </is>
      </c>
      <c r="C1" s="1" t="inlineStr">
        <is>
          <t>Row</t>
        </is>
      </c>
      <c r="D1" s="1" t="inlineStr">
        <is>
          <t>Label</t>
        </is>
      </c>
      <c r="E1" s="1" t="inlineStr">
        <is>
          <t>Due</t>
        </is>
      </c>
    </row>
    <row r="2">
      <c r="A2" t="inlineStr">
        <is>
          <t>Widget</t>
        </is>
      </c>
      <c r="B2">
        <f>VLOOKUP(A2,Orders!$A$2:$C$7,3,FALSE)</f>
        <v/>
      </c>
      <c r="C2">
        <f>MATCH(A2,Orders!$A$2:$A$7,0)</f>
        <v/>
      </c>
      <c r="D2">
        <f>UPPER(LEFT(A2,3))&amp;"-"&amp;TEXT(B2,"0.00")</f>
        <v/>
      </c>
      <c r="E2">
        <f>EDATE(DATE(2026,1,31),ROW()-1)</f>
        <v/>
      </c>
    </row>
    <row r="3">
      <c r="A3" t="inlineStr">
        <is>
          <t>Gadget</t>
        </is>
      </c>
      <c r="B3">
        <f>VLOOKUP(A3,Orders!$A$2:$C$7,3,FALSE)</f>
        <v/>
      </c>
      <c r="C3">
        <f>MATCH(A3,Orders!$A$2:$A$7,0)</f>
        <v/>
      </c>
      <c r="D3">
        <f>UPPER(LEFT(A3,3))&amp;"-"&amp;TEXT(B3,"0.00")</f>
        <v/>
      </c>
      <c r="E3">
        <f>EDATE(DATE(2026,1,31),ROW()-1)</f>
        <v/>
      </c>
    </row>
    <row r="4">
      <c r="A4" t="inlineStr">
        <is>
          <t>Gizmo</t>
        </is>
      </c>
      <c r="B4">
        <f>VLOOKUP(A4,Orders!$A$2:$C$7,3,FALSE)</f>
        <v/>
      </c>
      <c r="C4">
        <f>MATCH(A4,Orders!$A$2:$A$7,0)</f>
        <v/>
      </c>
      <c r="D4">
        <f>UPPER(LEFT(A4,3))&amp;"-"&amp;TEXT(B4,"0.00")</f>
        <v/>
      </c>
      <c r="E4">
        <f>EDATE(DATE(2026,1,31),ROW()-1)</f>
        <v/>
      </c>
    </row>
    <row r="5">
      <c r="A5" t="inlineStr">
        <is>
          <t>Support plan</t>
        </is>
      </c>
      <c r="B5">
        <f>VLOOKUP(A5,Orders!$A$2:$C$7,3,FALSE)</f>
        <v/>
      </c>
      <c r="C5">
        <f>MATCH(A5,Orders!$A$2:$A$7,0)</f>
        <v/>
      </c>
      <c r="D5">
        <f>UPPER(LEFT(A5,3))&amp;"-"&amp;TEXT(B5,"0.00")</f>
        <v/>
      </c>
      <c r="E5">
        <f>EDATE(DATE(2026,1,31),ROW()-1)</f>
        <v/>
      </c>
    </row>
    <row r="7">
      <c r="A7" t="inlineStr">
        <is>
          <t>Safe division</t>
        </is>
      </c>
      <c r="B7">
        <f>IFERROR(1/0,"n/a")</f>
        <v/>
      </c>
    </row>
    <row r="8">
      <c r="A8" t="inlineStr">
        <is>
          <t>Index/match</t>
        </is>
      </c>
      <c r="B8">
        <f>INDEX(Orders!$D$2:$D$7,MATCH("Gadget",Orders!$A$2:$A$7,0))</f>
        <v/>
      </c>
    </row>
    <row r="9">
      <c r="A9" t="inlineStr">
        <is>
          <t>Discount (sheet name)</t>
        </is>
      </c>
      <c r="B9">
        <f>Discount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n">
        <v>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>
        <f>SUM(Jan:Mar!B1)</f>
        <v/>
      </c>
    </row>
    <row r="3">
      <c r="A3" t="inlineStr">
        <is>
          <t>Item</t>
        </is>
      </c>
      <c r="B3" t="inlineStr">
        <is>
          <t>Plan</t>
        </is>
      </c>
      <c r="C3" t="inlineStr">
        <is>
          <t>Actual</t>
        </is>
      </c>
      <c r="D3" t="inlineStr">
        <is>
          <t>Delta</t>
        </is>
      </c>
    </row>
    <row r="4">
      <c r="A4" t="inlineStr">
        <is>
          <t>Rent</t>
        </is>
      </c>
      <c r="B4" t="n">
        <v>1000</v>
      </c>
      <c r="C4" t="n">
        <v>1000</v>
      </c>
      <c r="D4">
        <f>BudgetTable[[#This Row],[Actual]]-BudgetTable[[#This Row],[Plan]]</f>
        <v/>
      </c>
    </row>
    <row r="5">
      <c r="A5" t="inlineStr">
        <is>
          <t>Staff</t>
        </is>
      </c>
      <c r="B5" t="n">
        <v>5000</v>
      </c>
      <c r="C5" t="n">
        <v>5200</v>
      </c>
      <c r="D5">
        <f>BudgetTable[[#This Row],[Actual]]-BudgetTable[[#This Row],[Plan]]</f>
        <v/>
      </c>
    </row>
    <row r="6">
      <c r="A6" t="inlineStr">
        <is>
          <t>Travel</t>
        </is>
      </c>
      <c r="B6" t="n">
        <v>800</v>
      </c>
      <c r="C6" t="n">
        <v>650</v>
      </c>
      <c r="D6">
        <f>BudgetTable[[#This Row],[Actual]]-BudgetTable[[#This Row],[Plan]]</f>
        <v/>
      </c>
    </row>
    <row r="7">
      <c r="A7" t="inlineStr">
        <is>
          <t>Total</t>
        </is>
      </c>
      <c r="B7">
        <f>SUBTOTAL(109,BudgetTable[Plan])</f>
        <v/>
      </c>
      <c r="C7">
        <f>SUBTOTAL(109,BudgetTable[Actual])</f>
        <v/>
      </c>
      <c r="D7">
        <f>SUBTOTAL(109,BudgetTable[Delta])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Orders total</t>
        </is>
      </c>
      <c r="B1">
        <f>Orders!D8</f>
        <v/>
      </c>
    </row>
    <row r="2">
      <c r="A2" t="inlineStr">
        <is>
          <t>Largest order</t>
        </is>
      </c>
      <c r="B2">
        <f>MAX(Orders!D2:D7)</f>
        <v/>
      </c>
    </row>
    <row r="3">
      <c r="A3" t="inlineStr">
        <is>
          <t>Products</t>
        </is>
      </c>
      <c r="B3">
        <f>COUNTA(OrderProducts)</f>
        <v/>
      </c>
    </row>
    <row r="4">
      <c r="A4" t="inlineStr">
        <is>
          <t>Table total</t>
        </is>
      </c>
      <c r="B4">
        <f>SUM(OrderList[Total])</f>
        <v/>
      </c>
    </row>
    <row r="5">
      <c r="A5" t="inlineStr">
        <is>
          <t>Quarter budget</t>
        </is>
      </c>
      <c r="B5">
        <f>Budget!B1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xlsx2txt examples</dc:creator>
  <dc:title>Formulas</dc:title>
  <dcterms:created xsi:type="dcterms:W3CDTF">2026-01-01T12:00:00Z</dcterms:created>
  <dcterms:modified xsi:type="dcterms:W3CDTF">2026-01-01T12:00:00Z</dcterms:modified>
</cp:coreProperties>
</file>